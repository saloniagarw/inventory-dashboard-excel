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cuments\"/>
    </mc:Choice>
  </mc:AlternateContent>
  <bookViews>
    <workbookView xWindow="0" yWindow="0" windowWidth="15530" windowHeight="7190" activeTab="2"/>
  </bookViews>
  <sheets>
    <sheet name="Raw Data" sheetId="1" r:id="rId1"/>
    <sheet name="Pivot Table " sheetId="3" r:id="rId2"/>
    <sheet name="Dashboard" sheetId="2" r:id="rId3"/>
  </sheets>
  <definedNames>
    <definedName name="Slicer_Category">#N/A</definedName>
    <definedName name="Slicer_Supplier">#N/A</definedName>
  </definedNames>
  <calcPr calcId="152511"/>
  <pivotCaches>
    <pivotCache cacheId="2" r:id="rId4"/>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1" i="1" l="1"/>
  <c r="L10" i="1"/>
  <c r="L9" i="1"/>
  <c r="L8" i="1"/>
  <c r="L7" i="1"/>
  <c r="L6" i="1"/>
  <c r="L5" i="1"/>
  <c r="L4" i="1"/>
  <c r="L3" i="1"/>
  <c r="L2" i="1"/>
</calcChain>
</file>

<file path=xl/sharedStrings.xml><?xml version="1.0" encoding="utf-8"?>
<sst xmlns="http://schemas.openxmlformats.org/spreadsheetml/2006/main" count="105" uniqueCount="53">
  <si>
    <t>Product_ID</t>
  </si>
  <si>
    <t>Product_Name</t>
  </si>
  <si>
    <t>Category</t>
  </si>
  <si>
    <t>Supplier</t>
  </si>
  <si>
    <t>Warehouse</t>
  </si>
  <si>
    <t>Stock_In</t>
  </si>
  <si>
    <t>Stock_Out</t>
  </si>
  <si>
    <t>Current_Stock</t>
  </si>
  <si>
    <t>Reorder_Level</t>
  </si>
  <si>
    <t>Unit_Cost</t>
  </si>
  <si>
    <t>Last_Restock_Date</t>
  </si>
  <si>
    <t>P001</t>
  </si>
  <si>
    <t>Laptop</t>
  </si>
  <si>
    <t>Electronics</t>
  </si>
  <si>
    <t>TechSupply</t>
  </si>
  <si>
    <t>WH-A</t>
  </si>
  <si>
    <t>P002</t>
  </si>
  <si>
    <t>Keyboard</t>
  </si>
  <si>
    <t>P003</t>
  </si>
  <si>
    <t>Mouse</t>
  </si>
  <si>
    <t>WH-B</t>
  </si>
  <si>
    <t>P004</t>
  </si>
  <si>
    <t>Monitor</t>
  </si>
  <si>
    <t>ScreenWorld</t>
  </si>
  <si>
    <t>P005</t>
  </si>
  <si>
    <t>Printer</t>
  </si>
  <si>
    <t>PrintHub</t>
  </si>
  <si>
    <t>P006</t>
  </si>
  <si>
    <t>Desk Chair</t>
  </si>
  <si>
    <t>Furniture</t>
  </si>
  <si>
    <t>FurniCo</t>
  </si>
  <si>
    <t>WH-C</t>
  </si>
  <si>
    <t>P007</t>
  </si>
  <si>
    <t>Office Desk</t>
  </si>
  <si>
    <t>P008</t>
  </si>
  <si>
    <t>Notebook</t>
  </si>
  <si>
    <t>Stationery</t>
  </si>
  <si>
    <t>PaperPlus</t>
  </si>
  <si>
    <t>P009</t>
  </si>
  <si>
    <t>Pen Pack</t>
  </si>
  <si>
    <t>P010</t>
  </si>
  <si>
    <t>File Folder</t>
  </si>
  <si>
    <t>Sum of Current_Stock</t>
  </si>
  <si>
    <t>Row Labels</t>
  </si>
  <si>
    <t>tp</t>
  </si>
  <si>
    <t>ts</t>
  </si>
  <si>
    <t>lws</t>
  </si>
  <si>
    <t>iv</t>
  </si>
  <si>
    <t>Stock Status</t>
  </si>
  <si>
    <t>Reorder</t>
  </si>
  <si>
    <t>(All)</t>
  </si>
  <si>
    <t>Sum of Stock_In</t>
  </si>
  <si>
    <t>Current Stock</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</si>
</sst>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0" fontId="0" fillId="0" borderId="10" xfId="0" applyBorder="1" applyAlignment="1">
      <alignment vertical="center" wrapText="1"/>
    </xf>
    <xf numFmtId="14" fontId="0" fillId="0" borderId="10" xfId="0" applyNumberFormat="1" applyBorder="1" applyAlignment="1">
      <alignment vertical="center" wrapText="1"/>
    </xf>
    <xf numFmtId="0" fontId="0" fillId="0" borderId="10" xfId="0" applyBorder="1"/>
    <xf numFmtId="0" fontId="1" fillId="2" borderId="10"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1">
    <dxf>
      <fill>
        <patternFill>
          <bgColor theme="5" tint="0.59996337778862885"/>
        </patternFill>
      </fill>
    </dxf>
  </dxfs>
  <tableStyles count="0" defaultTableStyle="TableStyleMedium2" defaultPivotStyle="PivotStyleLight16"/>
  <colors>
    <mruColors>
      <color rgb="FFED7D31"/>
      <color rgb="FF00B0A9"/>
      <color rgb="FF5B9BD5"/>
      <color rgb="FFDDEBF7"/>
      <color rgb="FF1F4E7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[Inventory_Dashboard.xlsx]Pivot Table !PivotTable2</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Warehouse Wise Stock</a:t>
            </a:r>
            <a:r>
              <a:rPr lang="en-US" sz="1400" baseline="0">
                <a:solidFill>
                  <a:schemeClr val="tx1"/>
                </a:solidFill>
              </a:rPr>
              <a:t> Contribution</a:t>
            </a:r>
          </a:p>
          <a:p>
            <a:pPr>
              <a:defRPr sz="1400">
                <a:solidFill>
                  <a:schemeClr val="tx1"/>
                </a:solidFill>
              </a:defRPr>
            </a:pPr>
            <a:endParaRPr lang="en-US" sz="1400">
              <a:solidFill>
                <a:schemeClr val="tx1"/>
              </a:solidFill>
            </a:endParaRPr>
          </a:p>
          <a:p>
            <a:pPr>
              <a:defRPr sz="1400">
                <a:solidFill>
                  <a:schemeClr val="tx1"/>
                </a:solidFill>
              </a:defRPr>
            </a:pPr>
            <a:endParaRPr lang="en-US" sz="1400">
              <a:solidFill>
                <a:schemeClr val="tx1"/>
              </a:solidFill>
            </a:endParaRPr>
          </a:p>
        </c:rich>
      </c:tx>
      <c:layout>
        <c:manualLayout>
          <c:xMode val="edge"/>
          <c:yMode val="edge"/>
          <c:x val="0.21526768453889927"/>
          <c:y val="0.1146856475174920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rgbClr val="5B9BD5"/>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5598705501618123E-2"/>
          <c:y val="0.26447726548632289"/>
          <c:w val="0.93074908733551731"/>
          <c:h val="0.48709617222702656"/>
        </c:manualLayout>
      </c:layout>
      <c:barChart>
        <c:barDir val="col"/>
        <c:grouping val="clustered"/>
        <c:varyColors val="0"/>
        <c:ser>
          <c:idx val="0"/>
          <c:order val="0"/>
          <c:tx>
            <c:strRef>
              <c:f>'Pivot Table '!$B$8</c:f>
              <c:strCache>
                <c:ptCount val="1"/>
                <c:pt idx="0">
                  <c:v>Total</c:v>
                </c:pt>
              </c:strCache>
            </c:strRef>
          </c:tx>
          <c:spPr>
            <a:solidFill>
              <a:srgbClr val="5B9BD5"/>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 '!$A$9:$A$11</c:f>
              <c:strCache>
                <c:ptCount val="3"/>
                <c:pt idx="0">
                  <c:v>WH-A</c:v>
                </c:pt>
                <c:pt idx="1">
                  <c:v>WH-B</c:v>
                </c:pt>
                <c:pt idx="2">
                  <c:v>WH-C</c:v>
                </c:pt>
              </c:strCache>
            </c:strRef>
          </c:cat>
          <c:val>
            <c:numRef>
              <c:f>'Pivot Table '!$B$9:$B$11</c:f>
              <c:numCache>
                <c:formatCode>General</c:formatCode>
                <c:ptCount val="3"/>
                <c:pt idx="0">
                  <c:v>710</c:v>
                </c:pt>
                <c:pt idx="1">
                  <c:v>300</c:v>
                </c:pt>
                <c:pt idx="2">
                  <c:v>160</c:v>
                </c:pt>
              </c:numCache>
            </c:numRef>
          </c:val>
        </c:ser>
        <c:dLbls>
          <c:dLblPos val="outEnd"/>
          <c:showLegendKey val="0"/>
          <c:showVal val="1"/>
          <c:showCatName val="0"/>
          <c:showSerName val="0"/>
          <c:showPercent val="0"/>
          <c:showBubbleSize val="0"/>
        </c:dLbls>
        <c:gapWidth val="65"/>
        <c:axId val="-1985761344"/>
        <c:axId val="-1985767328"/>
      </c:barChart>
      <c:catAx>
        <c:axId val="-1985761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tx1"/>
                </a:solidFill>
                <a:latin typeface="+mn-lt"/>
                <a:ea typeface="+mn-ea"/>
                <a:cs typeface="+mn-cs"/>
              </a:defRPr>
            </a:pPr>
            <a:endParaRPr lang="en-US"/>
          </a:p>
        </c:txPr>
        <c:crossAx val="-1985767328"/>
        <c:crosses val="autoZero"/>
        <c:auto val="1"/>
        <c:lblAlgn val="ctr"/>
        <c:lblOffset val="100"/>
        <c:noMultiLvlLbl val="0"/>
      </c:catAx>
      <c:valAx>
        <c:axId val="-1985767328"/>
        <c:scaling>
          <c:orientation val="minMax"/>
        </c:scaling>
        <c:delete val="1"/>
        <c:axPos val="l"/>
        <c:numFmt formatCode="General" sourceLinked="1"/>
        <c:majorTickMark val="none"/>
        <c:minorTickMark val="none"/>
        <c:tickLblPos val="nextTo"/>
        <c:crossAx val="-1985761344"/>
        <c:crosses val="autoZero"/>
        <c:crossBetween val="between"/>
      </c:valAx>
      <c:spPr>
        <a:solidFill>
          <a:schemeClr val="bg1"/>
        </a:solid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[Inventory_Dashboard.xlsx]Pivot Table !PivotTable1</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Category Wise Stock Contribution</a:t>
            </a:r>
            <a:r>
              <a:rPr lang="en-US" sz="1400" baseline="0">
                <a:solidFill>
                  <a:schemeClr val="tx1"/>
                </a:solidFill>
              </a:rPr>
              <a:t> </a:t>
            </a:r>
            <a:endParaRPr lang="en-US" sz="1400">
              <a:solidFill>
                <a:schemeClr val="tx1"/>
              </a:solidFill>
            </a:endParaRPr>
          </a:p>
        </c:rich>
      </c:tx>
      <c:layout>
        <c:manualLayout>
          <c:xMode val="edge"/>
          <c:yMode val="edge"/>
          <c:x val="0.19457987835934018"/>
          <c:y val="0.1253103390971106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rgbClr val="00B0A9"/>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865758972653443E-2"/>
          <c:y val="0.26984549473005637"/>
          <c:w val="0.92426848205469314"/>
          <c:h val="0.48172800096423124"/>
        </c:manualLayout>
      </c:layout>
      <c:barChart>
        <c:barDir val="col"/>
        <c:grouping val="clustered"/>
        <c:varyColors val="0"/>
        <c:ser>
          <c:idx val="0"/>
          <c:order val="0"/>
          <c:tx>
            <c:strRef>
              <c:f>'Pivot Table '!$B$3</c:f>
              <c:strCache>
                <c:ptCount val="1"/>
                <c:pt idx="0">
                  <c:v>Total</c:v>
                </c:pt>
              </c:strCache>
            </c:strRef>
          </c:tx>
          <c:spPr>
            <a:solidFill>
              <a:srgbClr val="00B0A9"/>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 '!$A$4:$A$6</c:f>
              <c:strCache>
                <c:ptCount val="3"/>
                <c:pt idx="0">
                  <c:v>Electronics</c:v>
                </c:pt>
                <c:pt idx="1">
                  <c:v>Furniture</c:v>
                </c:pt>
                <c:pt idx="2">
                  <c:v>Stationery</c:v>
                </c:pt>
              </c:strCache>
            </c:strRef>
          </c:cat>
          <c:val>
            <c:numRef>
              <c:f>'Pivot Table '!$B$4:$B$6</c:f>
              <c:numCache>
                <c:formatCode>General</c:formatCode>
                <c:ptCount val="3"/>
                <c:pt idx="0">
                  <c:v>410</c:v>
                </c:pt>
                <c:pt idx="1">
                  <c:v>160</c:v>
                </c:pt>
                <c:pt idx="2">
                  <c:v>600</c:v>
                </c:pt>
              </c:numCache>
            </c:numRef>
          </c:val>
        </c:ser>
        <c:dLbls>
          <c:dLblPos val="inBase"/>
          <c:showLegendKey val="0"/>
          <c:showVal val="1"/>
          <c:showCatName val="0"/>
          <c:showSerName val="0"/>
          <c:showPercent val="0"/>
          <c:showBubbleSize val="0"/>
        </c:dLbls>
        <c:gapWidth val="65"/>
        <c:axId val="-1985757536"/>
        <c:axId val="-1985754816"/>
      </c:barChart>
      <c:catAx>
        <c:axId val="-198575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tx1"/>
                </a:solidFill>
                <a:latin typeface="+mn-lt"/>
                <a:ea typeface="+mn-ea"/>
                <a:cs typeface="+mn-cs"/>
              </a:defRPr>
            </a:pPr>
            <a:endParaRPr lang="en-US"/>
          </a:p>
        </c:txPr>
        <c:crossAx val="-1985754816"/>
        <c:crosses val="autoZero"/>
        <c:auto val="1"/>
        <c:lblAlgn val="ctr"/>
        <c:lblOffset val="100"/>
        <c:noMultiLvlLbl val="0"/>
      </c:catAx>
      <c:valAx>
        <c:axId val="-1985754816"/>
        <c:scaling>
          <c:orientation val="minMax"/>
        </c:scaling>
        <c:delete val="1"/>
        <c:axPos val="l"/>
        <c:numFmt formatCode="General" sourceLinked="1"/>
        <c:majorTickMark val="none"/>
        <c:minorTickMark val="none"/>
        <c:tickLblPos val="nextTo"/>
        <c:crossAx val="-1985757536"/>
        <c:crosses val="autoZero"/>
        <c:crossBetween val="between"/>
      </c:valAx>
      <c:spPr>
        <a:solidFill>
          <a:schemeClr val="bg1"/>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[Inventory_Dashboard.xlsx]Pivot Table !PivotTable8</c:name>
    <c:fmtId val="1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Supplier Stock Contribution  </a:t>
            </a:r>
          </a:p>
        </c:rich>
      </c:tx>
      <c:layout>
        <c:manualLayout>
          <c:xMode val="edge"/>
          <c:yMode val="edge"/>
          <c:x val="0.27746508765828976"/>
          <c:y val="6.12763630599768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rgbClr val="ED7D31"/>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ED7D31"/>
          </a:solidFill>
          <a:ln w="9525" cap="flat" cmpd="sng" algn="ctr">
            <a:solidFill>
              <a:schemeClr val="lt1">
                <a:alpha val="50000"/>
              </a:schemeClr>
            </a:solidFill>
            <a:round/>
          </a:ln>
          <a:effectLst/>
        </c:spPr>
        <c:dLbl>
          <c:idx val="0"/>
          <c:layout>
            <c:manualLayout>
              <c:x val="0"/>
              <c:y val="9.7721699372657466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7008973226690535E-2"/>
          <c:y val="0.33150355222224537"/>
          <c:w val="0.96122288395903244"/>
          <c:h val="0.42078579018766415"/>
        </c:manualLayout>
      </c:layout>
      <c:barChart>
        <c:barDir val="col"/>
        <c:grouping val="clustered"/>
        <c:varyColors val="0"/>
        <c:ser>
          <c:idx val="0"/>
          <c:order val="0"/>
          <c:tx>
            <c:strRef>
              <c:f>'Pivot Table '!$B$13</c:f>
              <c:strCache>
                <c:ptCount val="1"/>
                <c:pt idx="0">
                  <c:v>Total</c:v>
                </c:pt>
              </c:strCache>
            </c:strRef>
          </c:tx>
          <c:spPr>
            <a:solidFill>
              <a:srgbClr val="ED7D31"/>
            </a:solidFill>
            <a:ln w="9525" cap="flat" cmpd="sng" algn="ctr">
              <a:solidFill>
                <a:schemeClr val="lt1">
                  <a:alpha val="50000"/>
                </a:schemeClr>
              </a:solidFill>
              <a:round/>
            </a:ln>
            <a:effectLst/>
          </c:spPr>
          <c:invertIfNegative val="0"/>
          <c:dPt>
            <c:idx val="1"/>
            <c:invertIfNegative val="0"/>
            <c:bubble3D val="0"/>
            <c:spPr>
              <a:solidFill>
                <a:srgbClr val="ED7D31"/>
              </a:solidFill>
              <a:ln w="9525" cap="flat" cmpd="sng" algn="ctr">
                <a:solidFill>
                  <a:schemeClr val="lt1">
                    <a:alpha val="50000"/>
                  </a:schemeClr>
                </a:solidFill>
                <a:round/>
              </a:ln>
              <a:effectLst/>
            </c:spPr>
          </c:dPt>
          <c:dLbls>
            <c:dLbl>
              <c:idx val="1"/>
              <c:layout>
                <c:manualLayout>
                  <c:x val="0"/>
                  <c:y val="9.7721699372657466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 '!$A$14:$A$18</c:f>
              <c:strCache>
                <c:ptCount val="5"/>
                <c:pt idx="0">
                  <c:v>FurniCo</c:v>
                </c:pt>
                <c:pt idx="1">
                  <c:v>PaperPlus</c:v>
                </c:pt>
                <c:pt idx="2">
                  <c:v>PrintHub</c:v>
                </c:pt>
                <c:pt idx="3">
                  <c:v>ScreenWorld</c:v>
                </c:pt>
                <c:pt idx="4">
                  <c:v>TechSupply</c:v>
                </c:pt>
              </c:strCache>
            </c:strRef>
          </c:cat>
          <c:val>
            <c:numRef>
              <c:f>'Pivot Table '!$B$14:$B$18</c:f>
              <c:numCache>
                <c:formatCode>General</c:formatCode>
                <c:ptCount val="5"/>
                <c:pt idx="0">
                  <c:v>300</c:v>
                </c:pt>
                <c:pt idx="1">
                  <c:v>1450</c:v>
                </c:pt>
                <c:pt idx="2">
                  <c:v>90</c:v>
                </c:pt>
                <c:pt idx="3">
                  <c:v>120</c:v>
                </c:pt>
                <c:pt idx="4">
                  <c:v>700</c:v>
                </c:pt>
              </c:numCache>
            </c:numRef>
          </c:val>
        </c:ser>
        <c:dLbls>
          <c:dLblPos val="outEnd"/>
          <c:showLegendKey val="0"/>
          <c:showVal val="1"/>
          <c:showCatName val="0"/>
          <c:showSerName val="0"/>
          <c:showPercent val="0"/>
          <c:showBubbleSize val="0"/>
        </c:dLbls>
        <c:gapWidth val="65"/>
        <c:axId val="-1985765152"/>
        <c:axId val="-1985754272"/>
      </c:barChart>
      <c:catAx>
        <c:axId val="-1985765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tx1"/>
                </a:solidFill>
                <a:latin typeface="+mn-lt"/>
                <a:ea typeface="+mn-ea"/>
                <a:cs typeface="Times New Roman" panose="02020603050405020304" pitchFamily="18" charset="0"/>
              </a:defRPr>
            </a:pPr>
            <a:endParaRPr lang="en-US"/>
          </a:p>
        </c:txPr>
        <c:crossAx val="-1985754272"/>
        <c:crosses val="autoZero"/>
        <c:auto val="1"/>
        <c:lblAlgn val="ctr"/>
        <c:lblOffset val="100"/>
        <c:noMultiLvlLbl val="0"/>
      </c:catAx>
      <c:valAx>
        <c:axId val="-1985754272"/>
        <c:scaling>
          <c:orientation val="minMax"/>
        </c:scaling>
        <c:delete val="1"/>
        <c:axPos val="l"/>
        <c:numFmt formatCode="General" sourceLinked="1"/>
        <c:majorTickMark val="none"/>
        <c:minorTickMark val="none"/>
        <c:tickLblPos val="nextTo"/>
        <c:crossAx val="-1985765152"/>
        <c:crosses val="autoZero"/>
        <c:crossBetween val="between"/>
      </c:valAx>
      <c:spPr>
        <a:solidFill>
          <a:schemeClr val="bg1"/>
        </a:solidFill>
        <a:ln w="25400">
          <a:noFill/>
        </a:ln>
        <a:effectLst/>
      </c:spPr>
    </c:plotArea>
    <c:plotVisOnly val="1"/>
    <c:dispBlanksAs val="gap"/>
    <c:showDLblsOverMax val="0"/>
  </c:chart>
  <c:spPr>
    <a:noFill/>
    <a:ln w="9525" cap="flat" cmpd="sng" algn="ctr">
      <a:no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37352</xdr:colOff>
      <xdr:row>17</xdr:row>
      <xdr:rowOff>119529</xdr:rowOff>
    </xdr:from>
    <xdr:to>
      <xdr:col>8</xdr:col>
      <xdr:colOff>418352</xdr:colOff>
      <xdr:row>31</xdr:row>
      <xdr:rowOff>104588</xdr:rowOff>
    </xdr:to>
    <xdr:sp macro="" textlink="">
      <xdr:nvSpPr>
        <xdr:cNvPr id="24" name="Rectangle 23"/>
        <xdr:cNvSpPr/>
      </xdr:nvSpPr>
      <xdr:spPr>
        <a:xfrm>
          <a:off x="2487705" y="3294529"/>
          <a:ext cx="4250765" cy="2599765"/>
        </a:xfrm>
        <a:prstGeom prst="rect">
          <a:avLst/>
        </a:prstGeom>
        <a:solidFill>
          <a:srgbClr val="F2F2F2">
            <a:alpha val="45098"/>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8</xdr:col>
      <xdr:colOff>425823</xdr:colOff>
      <xdr:row>5</xdr:row>
      <xdr:rowOff>74705</xdr:rowOff>
    </xdr:from>
    <xdr:to>
      <xdr:col>12</xdr:col>
      <xdr:colOff>844178</xdr:colOff>
      <xdr:row>17</xdr:row>
      <xdr:rowOff>74706</xdr:rowOff>
    </xdr:to>
    <xdr:sp macro="" textlink="">
      <xdr:nvSpPr>
        <xdr:cNvPr id="23" name="Rectangle 22"/>
        <xdr:cNvSpPr/>
      </xdr:nvSpPr>
      <xdr:spPr>
        <a:xfrm>
          <a:off x="6745941" y="1008529"/>
          <a:ext cx="3735296" cy="2241177"/>
        </a:xfrm>
        <a:prstGeom prst="rect">
          <a:avLst/>
        </a:prstGeom>
        <a:solidFill>
          <a:schemeClr val="bg1">
            <a:alpha val="45098"/>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a:t>
          </a:r>
        </a:p>
      </xdr:txBody>
    </xdr:sp>
    <xdr:clientData/>
  </xdr:twoCellAnchor>
  <xdr:twoCellAnchor>
    <xdr:from>
      <xdr:col>4</xdr:col>
      <xdr:colOff>14940</xdr:colOff>
      <xdr:row>5</xdr:row>
      <xdr:rowOff>89646</xdr:rowOff>
    </xdr:from>
    <xdr:to>
      <xdr:col>8</xdr:col>
      <xdr:colOff>366059</xdr:colOff>
      <xdr:row>17</xdr:row>
      <xdr:rowOff>74705</xdr:rowOff>
    </xdr:to>
    <xdr:sp macro="" textlink="">
      <xdr:nvSpPr>
        <xdr:cNvPr id="20" name="Rectangle 19"/>
        <xdr:cNvSpPr/>
      </xdr:nvSpPr>
      <xdr:spPr>
        <a:xfrm>
          <a:off x="2465293" y="1023470"/>
          <a:ext cx="4220884" cy="2226235"/>
        </a:xfrm>
        <a:prstGeom prst="rect">
          <a:avLst/>
        </a:prstGeom>
        <a:solidFill>
          <a:schemeClr val="bg1">
            <a:alpha val="45098"/>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37352</xdr:colOff>
      <xdr:row>5</xdr:row>
      <xdr:rowOff>134470</xdr:rowOff>
    </xdr:from>
    <xdr:to>
      <xdr:col>8</xdr:col>
      <xdr:colOff>388470</xdr:colOff>
      <xdr:row>17</xdr:row>
      <xdr:rowOff>133025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433294</xdr:colOff>
      <xdr:row>5</xdr:row>
      <xdr:rowOff>119529</xdr:rowOff>
    </xdr:from>
    <xdr:to>
      <xdr:col>12</xdr:col>
      <xdr:colOff>862824</xdr:colOff>
      <xdr:row>17</xdr:row>
      <xdr:rowOff>68699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82176</xdr:colOff>
      <xdr:row>2</xdr:row>
      <xdr:rowOff>54480</xdr:rowOff>
    </xdr:from>
    <xdr:to>
      <xdr:col>5</xdr:col>
      <xdr:colOff>920431</xdr:colOff>
      <xdr:row>5</xdr:row>
      <xdr:rowOff>76519</xdr:rowOff>
    </xdr:to>
    <xdr:sp macro="" textlink="$S$5">
      <xdr:nvSpPr>
        <xdr:cNvPr id="4" name="TextBox 3"/>
        <xdr:cNvSpPr txBox="1"/>
      </xdr:nvSpPr>
      <xdr:spPr>
        <a:xfrm>
          <a:off x="2532529" y="428009"/>
          <a:ext cx="1958843" cy="582334"/>
        </a:xfrm>
        <a:prstGeom prst="rect">
          <a:avLst/>
        </a:prstGeom>
        <a:solidFill>
          <a:srgbClr val="DDEBF7"/>
        </a:solidFill>
        <a:ln w="9525" cmpd="sng">
          <a:solidFill>
            <a:schemeClr val="lt1">
              <a:shade val="50000"/>
            </a:schemeClr>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9D892F7-7740-465D-9DEF-829A3888B63F}" type="TxLink">
            <a:rPr lang="en-US" sz="2400" b="0" i="0" u="none" strike="noStrike">
              <a:solidFill>
                <a:srgbClr val="000000"/>
              </a:solidFill>
              <a:latin typeface="Calibri"/>
              <a:cs typeface="Calibri"/>
            </a:rPr>
            <a:pPr algn="l"/>
            <a:t>10</a:t>
          </a:fld>
          <a:endParaRPr lang="en-IN" sz="2400"/>
        </a:p>
      </xdr:txBody>
    </xdr:sp>
    <xdr:clientData/>
  </xdr:twoCellAnchor>
  <xdr:twoCellAnchor>
    <xdr:from>
      <xdr:col>5</xdr:col>
      <xdr:colOff>942126</xdr:colOff>
      <xdr:row>2</xdr:row>
      <xdr:rowOff>61951</xdr:rowOff>
    </xdr:from>
    <xdr:to>
      <xdr:col>8</xdr:col>
      <xdr:colOff>183297</xdr:colOff>
      <xdr:row>5</xdr:row>
      <xdr:rowOff>83990</xdr:rowOff>
    </xdr:to>
    <xdr:sp macro="" textlink="$S$6">
      <xdr:nvSpPr>
        <xdr:cNvPr id="5" name="TextBox 4"/>
        <xdr:cNvSpPr txBox="1"/>
      </xdr:nvSpPr>
      <xdr:spPr>
        <a:xfrm>
          <a:off x="4513067" y="435480"/>
          <a:ext cx="1990348" cy="582334"/>
        </a:xfrm>
        <a:prstGeom prst="rect">
          <a:avLst/>
        </a:prstGeom>
        <a:solidFill>
          <a:srgbClr val="DDEBF7"/>
        </a:solidFill>
        <a:ln w="9525" cmpd="sng">
          <a:solidFill>
            <a:schemeClr val="lt1">
              <a:shade val="50000"/>
            </a:schemeClr>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5B1E0CB-DE88-480E-8061-A786B69A66AE}" type="TxLink">
            <a:rPr lang="en-US" sz="2400" b="0" i="0" u="none" strike="noStrike">
              <a:solidFill>
                <a:srgbClr val="000000"/>
              </a:solidFill>
              <a:latin typeface="Calibri"/>
              <a:ea typeface="+mn-ea"/>
              <a:cs typeface="Calibri"/>
            </a:rPr>
            <a:pPr marL="0" indent="0" algn="l"/>
            <a:t>1170</a:t>
          </a:fld>
          <a:endParaRPr lang="en-IN" sz="2400" b="0" i="0" u="none" strike="noStrike">
            <a:solidFill>
              <a:srgbClr val="000000"/>
            </a:solidFill>
            <a:latin typeface="Calibri"/>
            <a:ea typeface="+mn-ea"/>
            <a:cs typeface="Calibri"/>
          </a:endParaRPr>
        </a:p>
      </xdr:txBody>
    </xdr:sp>
    <xdr:clientData/>
  </xdr:twoCellAnchor>
  <xdr:twoCellAnchor>
    <xdr:from>
      <xdr:col>8</xdr:col>
      <xdr:colOff>234874</xdr:colOff>
      <xdr:row>2</xdr:row>
      <xdr:rowOff>61951</xdr:rowOff>
    </xdr:from>
    <xdr:to>
      <xdr:col>10</xdr:col>
      <xdr:colOff>753788</xdr:colOff>
      <xdr:row>5</xdr:row>
      <xdr:rowOff>83990</xdr:rowOff>
    </xdr:to>
    <xdr:sp macro="" textlink="$S$7">
      <xdr:nvSpPr>
        <xdr:cNvPr id="6" name="TextBox 5"/>
        <xdr:cNvSpPr txBox="1"/>
      </xdr:nvSpPr>
      <xdr:spPr>
        <a:xfrm>
          <a:off x="6554992" y="435480"/>
          <a:ext cx="1998090" cy="582334"/>
        </a:xfrm>
        <a:prstGeom prst="rect">
          <a:avLst/>
        </a:prstGeom>
        <a:solidFill>
          <a:srgbClr val="DDEBF7"/>
        </a:solidFill>
        <a:ln w="9525" cmpd="sng">
          <a:solidFill>
            <a:schemeClr val="lt1">
              <a:shade val="50000"/>
            </a:schemeClr>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E212A8-8CDB-44C6-AE86-26673EE488CD}" type="TxLink">
            <a:rPr lang="en-US" sz="2400" b="0" i="0" u="none" strike="noStrike">
              <a:solidFill>
                <a:srgbClr val="000000"/>
              </a:solidFill>
              <a:latin typeface="Calibri"/>
              <a:ea typeface="+mn-ea"/>
              <a:cs typeface="Calibri"/>
            </a:rPr>
            <a:pPr marL="0" indent="0" algn="l"/>
            <a:t>4</a:t>
          </a:fld>
          <a:endParaRPr lang="en-IN" sz="2400" b="0" i="0" u="none" strike="noStrike">
            <a:solidFill>
              <a:srgbClr val="000000"/>
            </a:solidFill>
            <a:latin typeface="Calibri"/>
            <a:ea typeface="+mn-ea"/>
            <a:cs typeface="Calibri"/>
          </a:endParaRPr>
        </a:p>
      </xdr:txBody>
    </xdr:sp>
    <xdr:clientData/>
  </xdr:twoCellAnchor>
  <xdr:twoCellAnchor>
    <xdr:from>
      <xdr:col>10</xdr:col>
      <xdr:colOff>775483</xdr:colOff>
      <xdr:row>2</xdr:row>
      <xdr:rowOff>61951</xdr:rowOff>
    </xdr:from>
    <xdr:to>
      <xdr:col>12</xdr:col>
      <xdr:colOff>836578</xdr:colOff>
      <xdr:row>5</xdr:row>
      <xdr:rowOff>85182</xdr:rowOff>
    </xdr:to>
    <xdr:sp macro="" textlink="$P$8">
      <xdr:nvSpPr>
        <xdr:cNvPr id="7" name="TextBox 6"/>
        <xdr:cNvSpPr txBox="1"/>
      </xdr:nvSpPr>
      <xdr:spPr>
        <a:xfrm>
          <a:off x="8574777" y="435480"/>
          <a:ext cx="1891389" cy="583526"/>
        </a:xfrm>
        <a:prstGeom prst="rect">
          <a:avLst/>
        </a:prstGeom>
        <a:solidFill>
          <a:srgbClr val="DDEBF7"/>
        </a:solidFill>
        <a:ln w="9525" cmpd="sng">
          <a:solidFill>
            <a:schemeClr val="lt1">
              <a:shade val="50000"/>
            </a:schemeClr>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4394D78-5A17-4D38-989A-3585148B3CAF}" type="TxLink">
            <a:rPr lang="en-US" sz="2400" b="0" i="0" u="none" strike="noStrike">
              <a:solidFill>
                <a:srgbClr val="000000"/>
              </a:solidFill>
              <a:latin typeface="Calibri"/>
              <a:ea typeface="+mn-ea"/>
              <a:cs typeface="Calibri"/>
            </a:rPr>
            <a:pPr marL="0" indent="0" algn="l"/>
            <a:t>88900</a:t>
          </a:fld>
          <a:endParaRPr lang="en-IN" sz="2400" b="0" i="0" u="none" strike="noStrike">
            <a:solidFill>
              <a:srgbClr val="000000"/>
            </a:solidFill>
            <a:latin typeface="Calibri"/>
            <a:ea typeface="+mn-ea"/>
            <a:cs typeface="Calibri"/>
          </a:endParaRPr>
        </a:p>
      </xdr:txBody>
    </xdr:sp>
    <xdr:clientData/>
  </xdr:twoCellAnchor>
  <xdr:twoCellAnchor>
    <xdr:from>
      <xdr:col>4</xdr:col>
      <xdr:colOff>104861</xdr:colOff>
      <xdr:row>4</xdr:row>
      <xdr:rowOff>29882</xdr:rowOff>
    </xdr:from>
    <xdr:to>
      <xdr:col>5</xdr:col>
      <xdr:colOff>7471</xdr:colOff>
      <xdr:row>5</xdr:row>
      <xdr:rowOff>38847</xdr:rowOff>
    </xdr:to>
    <xdr:sp macro="" textlink="">
      <xdr:nvSpPr>
        <xdr:cNvPr id="8" name="TextBox 7"/>
        <xdr:cNvSpPr txBox="1"/>
      </xdr:nvSpPr>
      <xdr:spPr>
        <a:xfrm>
          <a:off x="2555214" y="776941"/>
          <a:ext cx="1023198" cy="195730"/>
        </a:xfrm>
        <a:prstGeom prst="rect">
          <a:avLst/>
        </a:prstGeom>
        <a:solidFill>
          <a:srgbClr val="DDE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t>Total Product</a:t>
          </a:r>
        </a:p>
      </xdr:txBody>
    </xdr:sp>
    <xdr:clientData/>
  </xdr:twoCellAnchor>
  <xdr:twoCellAnchor>
    <xdr:from>
      <xdr:col>5</xdr:col>
      <xdr:colOff>952965</xdr:colOff>
      <xdr:row>4</xdr:row>
      <xdr:rowOff>69850</xdr:rowOff>
    </xdr:from>
    <xdr:to>
      <xdr:col>7</xdr:col>
      <xdr:colOff>39495</xdr:colOff>
      <xdr:row>5</xdr:row>
      <xdr:rowOff>85183</xdr:rowOff>
    </xdr:to>
    <xdr:sp macro="" textlink="">
      <xdr:nvSpPr>
        <xdr:cNvPr id="10" name="TextBox 9"/>
        <xdr:cNvSpPr txBox="1"/>
      </xdr:nvSpPr>
      <xdr:spPr>
        <a:xfrm>
          <a:off x="4508965" y="806450"/>
          <a:ext cx="1226480" cy="199483"/>
        </a:xfrm>
        <a:prstGeom prst="rect">
          <a:avLst/>
        </a:prstGeom>
        <a:solidFill>
          <a:srgbClr val="DDE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Total </a:t>
          </a:r>
          <a:r>
            <a:rPr lang="en-IN" sz="1100">
              <a:solidFill>
                <a:schemeClr val="dk1"/>
              </a:solidFill>
              <a:latin typeface="+mn-lt"/>
              <a:ea typeface="+mn-ea"/>
              <a:cs typeface="+mn-cs"/>
            </a:rPr>
            <a:t>Stock</a:t>
          </a:r>
        </a:p>
      </xdr:txBody>
    </xdr:sp>
    <xdr:clientData/>
  </xdr:twoCellAnchor>
  <xdr:twoCellAnchor>
    <xdr:from>
      <xdr:col>8</xdr:col>
      <xdr:colOff>237672</xdr:colOff>
      <xdr:row>4</xdr:row>
      <xdr:rowOff>67235</xdr:rowOff>
    </xdr:from>
    <xdr:to>
      <xdr:col>9</xdr:col>
      <xdr:colOff>866587</xdr:colOff>
      <xdr:row>5</xdr:row>
      <xdr:rowOff>16582</xdr:rowOff>
    </xdr:to>
    <xdr:sp macro="" textlink="">
      <xdr:nvSpPr>
        <xdr:cNvPr id="11" name="TextBox 10"/>
        <xdr:cNvSpPr txBox="1"/>
      </xdr:nvSpPr>
      <xdr:spPr>
        <a:xfrm>
          <a:off x="6557790" y="814294"/>
          <a:ext cx="1241503" cy="136112"/>
        </a:xfrm>
        <a:prstGeom prst="rect">
          <a:avLst/>
        </a:prstGeom>
        <a:solidFill>
          <a:srgbClr val="DDE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Low</a:t>
          </a:r>
          <a:r>
            <a:rPr lang="en-IN" sz="1100" baseline="0"/>
            <a:t> Stock Items</a:t>
          </a:r>
          <a:endParaRPr lang="en-IN" sz="1100"/>
        </a:p>
      </xdr:txBody>
    </xdr:sp>
    <xdr:clientData/>
  </xdr:twoCellAnchor>
  <xdr:twoCellAnchor>
    <xdr:from>
      <xdr:col>10</xdr:col>
      <xdr:colOff>797213</xdr:colOff>
      <xdr:row>4</xdr:row>
      <xdr:rowOff>68730</xdr:rowOff>
    </xdr:from>
    <xdr:to>
      <xdr:col>12</xdr:col>
      <xdr:colOff>437586</xdr:colOff>
      <xdr:row>5</xdr:row>
      <xdr:rowOff>48287</xdr:rowOff>
    </xdr:to>
    <xdr:sp macro="" textlink="">
      <xdr:nvSpPr>
        <xdr:cNvPr id="12" name="TextBox 11"/>
        <xdr:cNvSpPr txBox="1"/>
      </xdr:nvSpPr>
      <xdr:spPr>
        <a:xfrm>
          <a:off x="8596507" y="815789"/>
          <a:ext cx="1470667" cy="166322"/>
        </a:xfrm>
        <a:prstGeom prst="rect">
          <a:avLst/>
        </a:prstGeom>
        <a:solidFill>
          <a:srgbClr val="DDEB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50"/>
            <a:t>Inventory</a:t>
          </a:r>
          <a:r>
            <a:rPr lang="en-IN" sz="1100" baseline="0"/>
            <a:t> Value</a:t>
          </a:r>
          <a:endParaRPr lang="en-IN" sz="1100"/>
        </a:p>
      </xdr:txBody>
    </xdr:sp>
    <xdr:clientData/>
  </xdr:twoCellAnchor>
  <xdr:twoCellAnchor>
    <xdr:from>
      <xdr:col>4</xdr:col>
      <xdr:colOff>97118</xdr:colOff>
      <xdr:row>17</xdr:row>
      <xdr:rowOff>141941</xdr:rowOff>
    </xdr:from>
    <xdr:to>
      <xdr:col>8</xdr:col>
      <xdr:colOff>463176</xdr:colOff>
      <xdr:row>31</xdr:row>
      <xdr:rowOff>164353</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59765</xdr:colOff>
      <xdr:row>0</xdr:row>
      <xdr:rowOff>36706</xdr:rowOff>
    </xdr:from>
    <xdr:to>
      <xdr:col>12</xdr:col>
      <xdr:colOff>829236</xdr:colOff>
      <xdr:row>2</xdr:row>
      <xdr:rowOff>17656</xdr:rowOff>
    </xdr:to>
    <xdr:sp macro="" textlink="">
      <xdr:nvSpPr>
        <xdr:cNvPr id="14" name="TextBox 13"/>
        <xdr:cNvSpPr txBox="1"/>
      </xdr:nvSpPr>
      <xdr:spPr>
        <a:xfrm>
          <a:off x="2510118" y="36706"/>
          <a:ext cx="7948706" cy="354479"/>
        </a:xfrm>
        <a:prstGeom prst="rect">
          <a:avLst/>
        </a:prstGeom>
        <a:solidFill>
          <a:srgbClr val="1F4E7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1"/>
              </a:solidFill>
              <a:latin typeface="Times New Roman" panose="02020603050405020304" pitchFamily="18" charset="0"/>
              <a:cs typeface="Times New Roman" panose="02020603050405020304" pitchFamily="18" charset="0"/>
            </a:rPr>
            <a:t>INVENTORY</a:t>
          </a:r>
          <a:r>
            <a:rPr lang="en-IN" sz="2000" b="1" i="0" baseline="0">
              <a:solidFill>
                <a:schemeClr val="bg1"/>
              </a:solidFill>
              <a:latin typeface="Times New Roman" panose="02020603050405020304" pitchFamily="18" charset="0"/>
              <a:cs typeface="Times New Roman" panose="02020603050405020304" pitchFamily="18" charset="0"/>
            </a:rPr>
            <a:t> MANAGEMENT DASHBOARD</a:t>
          </a:r>
          <a:endParaRPr lang="en-IN" sz="20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209085</xdr:colOff>
      <xdr:row>2</xdr:row>
      <xdr:rowOff>108415</xdr:rowOff>
    </xdr:from>
    <xdr:to>
      <xdr:col>5</xdr:col>
      <xdr:colOff>803430</xdr:colOff>
      <xdr:row>5</xdr:row>
      <xdr:rowOff>46465</xdr:rowOff>
    </xdr:to>
    <xdr:pic>
      <xdr:nvPicPr>
        <xdr:cNvPr id="15" name="Picture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71280" y="480122"/>
          <a:ext cx="594345" cy="495611"/>
        </a:xfrm>
        <a:prstGeom prst="rect">
          <a:avLst/>
        </a:prstGeom>
      </xdr:spPr>
    </xdr:pic>
    <xdr:clientData/>
  </xdr:twoCellAnchor>
  <xdr:twoCellAnchor editAs="oneCell">
    <xdr:from>
      <xdr:col>7</xdr:col>
      <xdr:colOff>158749</xdr:colOff>
      <xdr:row>2</xdr:row>
      <xdr:rowOff>107950</xdr:rowOff>
    </xdr:from>
    <xdr:to>
      <xdr:col>8</xdr:col>
      <xdr:colOff>147134</xdr:colOff>
      <xdr:row>5</xdr:row>
      <xdr:rowOff>19050</xdr:rowOff>
    </xdr:to>
    <xdr:pic>
      <xdr:nvPicPr>
        <xdr:cNvPr id="16" name="Picture 1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54699" y="476250"/>
          <a:ext cx="597985" cy="463550"/>
        </a:xfrm>
        <a:prstGeom prst="rect">
          <a:avLst/>
        </a:prstGeom>
      </xdr:spPr>
    </xdr:pic>
    <xdr:clientData/>
  </xdr:twoCellAnchor>
  <xdr:twoCellAnchor editAs="oneCell">
    <xdr:from>
      <xdr:col>10</xdr:col>
      <xdr:colOff>100670</xdr:colOff>
      <xdr:row>2</xdr:row>
      <xdr:rowOff>107820</xdr:rowOff>
    </xdr:from>
    <xdr:to>
      <xdr:col>10</xdr:col>
      <xdr:colOff>696951</xdr:colOff>
      <xdr:row>5</xdr:row>
      <xdr:rowOff>47059</xdr:rowOff>
    </xdr:to>
    <xdr:pic>
      <xdr:nvPicPr>
        <xdr:cNvPr id="17" name="Picture 1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898780" y="479527"/>
          <a:ext cx="596281" cy="496800"/>
        </a:xfrm>
        <a:prstGeom prst="rect">
          <a:avLst/>
        </a:prstGeom>
      </xdr:spPr>
    </xdr:pic>
    <xdr:clientData/>
  </xdr:twoCellAnchor>
  <xdr:twoCellAnchor editAs="oneCell">
    <xdr:from>
      <xdr:col>12</xdr:col>
      <xdr:colOff>220082</xdr:colOff>
      <xdr:row>2</xdr:row>
      <xdr:rowOff>95120</xdr:rowOff>
    </xdr:from>
    <xdr:to>
      <xdr:col>12</xdr:col>
      <xdr:colOff>789413</xdr:colOff>
      <xdr:row>5</xdr:row>
      <xdr:rowOff>34359</xdr:rowOff>
    </xdr:to>
    <xdr:pic>
      <xdr:nvPicPr>
        <xdr:cNvPr id="18" name="Picture 1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833982" y="463420"/>
          <a:ext cx="569331" cy="491689"/>
        </a:xfrm>
        <a:prstGeom prst="rect">
          <a:avLst/>
        </a:prstGeom>
      </xdr:spPr>
    </xdr:pic>
    <xdr:clientData/>
  </xdr:twoCellAnchor>
  <xdr:twoCellAnchor editAs="oneCell">
    <xdr:from>
      <xdr:col>8</xdr:col>
      <xdr:colOff>478116</xdr:colOff>
      <xdr:row>17</xdr:row>
      <xdr:rowOff>141942</xdr:rowOff>
    </xdr:from>
    <xdr:to>
      <xdr:col>10</xdr:col>
      <xdr:colOff>865093</xdr:colOff>
      <xdr:row>26</xdr:row>
      <xdr:rowOff>52294</xdr:rowOff>
    </xdr:to>
    <mc:AlternateContent xmlns:mc="http://schemas.openxmlformats.org/markup-compatibility/2006" xmlns:a14="http://schemas.microsoft.com/office/drawing/2010/main">
      <mc:Choice Requires="a14">
        <xdr:graphicFrame macro="">
          <xdr:nvGraphicFramePr>
            <xdr:cNvPr id="22" name="Supplier 1"/>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6775824" y="3316942"/>
              <a:ext cx="1888564" cy="1591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478118</xdr:colOff>
      <xdr:row>26</xdr:row>
      <xdr:rowOff>97119</xdr:rowOff>
    </xdr:from>
    <xdr:to>
      <xdr:col>10</xdr:col>
      <xdr:colOff>866589</xdr:colOff>
      <xdr:row>31</xdr:row>
      <xdr:rowOff>104588</xdr:rowOff>
    </xdr:to>
    <mc:AlternateContent xmlns:mc="http://schemas.openxmlformats.org/markup-compatibility/2006" xmlns:a14="http://schemas.microsoft.com/office/drawing/2010/main">
      <mc:Choice Requires="a14">
        <xdr:graphicFrame macro="">
          <xdr:nvGraphicFramePr>
            <xdr:cNvPr id="2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798236" y="4953001"/>
              <a:ext cx="1867647" cy="941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096.92037453704" createdVersion="5" refreshedVersion="5" minRefreshableVersion="3" recordCount="10">
  <cacheSource type="worksheet">
    <worksheetSource ref="A1:K11" sheet="Raw Data"/>
  </cacheSource>
  <cacheFields count="11">
    <cacheField name="Product_ID" numFmtId="0">
      <sharedItems/>
    </cacheField>
    <cacheField name="Product_Name" numFmtId="0">
      <sharedItems/>
    </cacheField>
    <cacheField name="Category" numFmtId="0">
      <sharedItems count="3">
        <s v="Electronics"/>
        <s v="Furniture"/>
        <s v="Stationery"/>
      </sharedItems>
    </cacheField>
    <cacheField name="Supplier" numFmtId="0">
      <sharedItems/>
    </cacheField>
    <cacheField name="Warehouse" numFmtId="0">
      <sharedItems count="3">
        <s v="WH-A"/>
        <s v="WH-B"/>
        <s v="WH-C"/>
      </sharedItems>
    </cacheField>
    <cacheField name="Stock_In" numFmtId="0">
      <sharedItems containsSemiMixedTypes="0" containsString="0" containsNumber="1" containsInteger="1" minValue="90" maxValue="600"/>
    </cacheField>
    <cacheField name="Stock_Out" numFmtId="0">
      <sharedItems containsSemiMixedTypes="0" containsString="0" containsNumber="1" containsInteger="1" minValue="40" maxValue="400"/>
    </cacheField>
    <cacheField name="Current_Stock" numFmtId="0">
      <sharedItems containsSemiMixedTypes="0" containsString="0" containsNumber="1" containsInteger="1" minValue="50" maxValue="200"/>
    </cacheField>
    <cacheField name="Reorder_Level" numFmtId="0">
      <sharedItems containsSemiMixedTypes="0" containsString="0" containsNumber="1" containsInteger="1" minValue="20" maxValue="120"/>
    </cacheField>
    <cacheField name="Unit_Cost" numFmtId="0">
      <sharedItems containsSemiMixedTypes="0" containsString="0" containsNumber="1" containsInteger="1" minValue="2" maxValue="650"/>
    </cacheField>
    <cacheField name="Last_Restock_Date" numFmtId="14">
      <sharedItems containsSemiMixedTypes="0" containsNonDate="0" containsDate="1" containsString="0" minDate="2024-01-01T00:00:00" maxDate="2024-01-2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96.951827430552" createdVersion="5" refreshedVersion="5" minRefreshableVersion="3" recordCount="10">
  <cacheSource type="worksheet">
    <worksheetSource ref="A1:L11" sheet="Raw Data"/>
  </cacheSource>
  <cacheFields count="12">
    <cacheField name="Product_ID" numFmtId="0">
      <sharedItems/>
    </cacheField>
    <cacheField name="Product_Name" numFmtId="0">
      <sharedItems count="10">
        <s v="Laptop"/>
        <s v="Keyboard"/>
        <s v="Mouse"/>
        <s v="Monitor"/>
        <s v="Printer"/>
        <s v="Desk Chair"/>
        <s v="Office Desk"/>
        <s v="Notebook"/>
        <s v="Pen Pack"/>
        <s v="File Folder"/>
      </sharedItems>
    </cacheField>
    <cacheField name="Category" numFmtId="0">
      <sharedItems count="3">
        <s v="Electronics"/>
        <s v="Furniture"/>
        <s v="Stationery"/>
      </sharedItems>
    </cacheField>
    <cacheField name="Supplier" numFmtId="0">
      <sharedItems count="5">
        <s v="TechSupply"/>
        <s v="ScreenWorld"/>
        <s v="PrintHub"/>
        <s v="FurniCo"/>
        <s v="PaperPlus"/>
      </sharedItems>
    </cacheField>
    <cacheField name="Warehouse" numFmtId="0">
      <sharedItems count="3">
        <s v="WH-A"/>
        <s v="WH-B"/>
        <s v="WH-C"/>
      </sharedItems>
    </cacheField>
    <cacheField name="Stock_In" numFmtId="0">
      <sharedItems containsSemiMixedTypes="0" containsString="0" containsNumber="1" containsInteger="1" minValue="90" maxValue="600"/>
    </cacheField>
    <cacheField name="Stock_Out" numFmtId="0">
      <sharedItems containsSemiMixedTypes="0" containsString="0" containsNumber="1" containsInteger="1" minValue="40" maxValue="400"/>
    </cacheField>
    <cacheField name="Current_Stock" numFmtId="0">
      <sharedItems containsSemiMixedTypes="0" containsString="0" containsNumber="1" containsInteger="1" minValue="50" maxValue="200"/>
    </cacheField>
    <cacheField name="Reorder_Level" numFmtId="0">
      <sharedItems containsSemiMixedTypes="0" containsString="0" containsNumber="1" containsInteger="1" minValue="20" maxValue="300"/>
    </cacheField>
    <cacheField name="Unit_Cost" numFmtId="0">
      <sharedItems containsSemiMixedTypes="0" containsString="0" containsNumber="1" containsInteger="1" minValue="2" maxValue="650"/>
    </cacheField>
    <cacheField name="Last_Restock_Date" numFmtId="14">
      <sharedItems containsSemiMixedTypes="0" containsNonDate="0" containsDate="1" containsString="0" minDate="2024-01-01T00:00:00" maxDate="2024-01-21T00:00:00"/>
    </cacheField>
    <cacheField name="Stock Status" numFmtId="0">
      <sharedItems count="2">
        <s v="Reorder"/>
        <s v="OK"/>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s v="P001"/>
    <s v="Laptop"/>
    <x v="0"/>
    <s v="TechSupply"/>
    <x v="0"/>
    <n v="150"/>
    <n v="80"/>
    <n v="70"/>
    <n v="30"/>
    <n v="650"/>
    <d v="2024-01-01T00:00:00"/>
  </r>
  <r>
    <s v="P002"/>
    <s v="Keyboard"/>
    <x v="0"/>
    <s v="TechSupply"/>
    <x v="0"/>
    <n v="300"/>
    <n v="120"/>
    <n v="180"/>
    <n v="50"/>
    <n v="20"/>
    <d v="2024-01-03T00:00:00"/>
  </r>
  <r>
    <s v="P003"/>
    <s v="Mouse"/>
    <x v="0"/>
    <s v="TechSupply"/>
    <x v="1"/>
    <n v="250"/>
    <n v="200"/>
    <n v="50"/>
    <n v="40"/>
    <n v="10"/>
    <d v="2024-01-05T00:00:00"/>
  </r>
  <r>
    <s v="P004"/>
    <s v="Monitor"/>
    <x v="0"/>
    <s v="ScreenWorld"/>
    <x v="0"/>
    <n v="120"/>
    <n v="60"/>
    <n v="60"/>
    <n v="25"/>
    <n v="200"/>
    <d v="2024-01-07T00:00:00"/>
  </r>
  <r>
    <s v="P005"/>
    <s v="Printer"/>
    <x v="0"/>
    <s v="PrintHub"/>
    <x v="1"/>
    <n v="90"/>
    <n v="40"/>
    <n v="50"/>
    <n v="20"/>
    <n v="180"/>
    <d v="2024-01-10T00:00:00"/>
  </r>
  <r>
    <s v="P006"/>
    <s v="Desk Chair"/>
    <x v="1"/>
    <s v="FurniCo"/>
    <x v="2"/>
    <n v="200"/>
    <n v="100"/>
    <n v="100"/>
    <n v="40"/>
    <n v="75"/>
    <d v="2024-01-12T00:00:00"/>
  </r>
  <r>
    <s v="P007"/>
    <s v="Office Desk"/>
    <x v="1"/>
    <s v="FurniCo"/>
    <x v="2"/>
    <n v="100"/>
    <n v="40"/>
    <n v="60"/>
    <n v="20"/>
    <n v="150"/>
    <d v="2024-01-14T00:00:00"/>
  </r>
  <r>
    <s v="P008"/>
    <s v="Notebook"/>
    <x v="2"/>
    <s v="PaperPlus"/>
    <x v="0"/>
    <n v="500"/>
    <n v="300"/>
    <n v="200"/>
    <n v="100"/>
    <n v="2"/>
    <d v="2024-01-16T00:00:00"/>
  </r>
  <r>
    <s v="P009"/>
    <s v="Pen Pack"/>
    <x v="2"/>
    <s v="PaperPlus"/>
    <x v="0"/>
    <n v="600"/>
    <n v="400"/>
    <n v="200"/>
    <n v="120"/>
    <n v="3"/>
    <d v="2024-01-18T00:00:00"/>
  </r>
  <r>
    <s v="P010"/>
    <s v="File Folder"/>
    <x v="2"/>
    <s v="PaperPlus"/>
    <x v="1"/>
    <n v="350"/>
    <n v="150"/>
    <n v="200"/>
    <n v="80"/>
    <n v="4"/>
    <d v="2024-01-20T00:00:00"/>
  </r>
</pivotCacheRecords>
</file>

<file path=xl/pivotCache/pivotCacheRecords2.xml><?xml version="1.0" encoding="utf-8"?>
<pivotCacheRecords xmlns="http://schemas.openxmlformats.org/spreadsheetml/2006/main" xmlns:r="http://schemas.openxmlformats.org/officeDocument/2006/relationships" count="10">
  <r>
    <s v="P001"/>
    <x v="0"/>
    <x v="0"/>
    <x v="0"/>
    <x v="0"/>
    <n v="150"/>
    <n v="80"/>
    <n v="70"/>
    <n v="90"/>
    <n v="650"/>
    <d v="2024-01-01T00:00:00"/>
    <x v="0"/>
  </r>
  <r>
    <s v="P002"/>
    <x v="1"/>
    <x v="0"/>
    <x v="0"/>
    <x v="0"/>
    <n v="300"/>
    <n v="120"/>
    <n v="180"/>
    <n v="50"/>
    <n v="20"/>
    <d v="2024-01-03T00:00:00"/>
    <x v="1"/>
  </r>
  <r>
    <s v="P003"/>
    <x v="2"/>
    <x v="0"/>
    <x v="0"/>
    <x v="1"/>
    <n v="250"/>
    <n v="200"/>
    <n v="50"/>
    <n v="40"/>
    <n v="10"/>
    <d v="2024-01-05T00:00:00"/>
    <x v="1"/>
  </r>
  <r>
    <s v="P004"/>
    <x v="3"/>
    <x v="0"/>
    <x v="1"/>
    <x v="0"/>
    <n v="120"/>
    <n v="60"/>
    <n v="60"/>
    <n v="80"/>
    <n v="200"/>
    <d v="2024-01-07T00:00:00"/>
    <x v="0"/>
  </r>
  <r>
    <s v="P005"/>
    <x v="4"/>
    <x v="0"/>
    <x v="2"/>
    <x v="1"/>
    <n v="90"/>
    <n v="40"/>
    <n v="50"/>
    <n v="70"/>
    <n v="180"/>
    <d v="2024-01-10T00:00:00"/>
    <x v="0"/>
  </r>
  <r>
    <s v="P006"/>
    <x v="5"/>
    <x v="1"/>
    <x v="3"/>
    <x v="2"/>
    <n v="200"/>
    <n v="100"/>
    <n v="100"/>
    <n v="40"/>
    <n v="75"/>
    <d v="2024-01-12T00:00:00"/>
    <x v="1"/>
  </r>
  <r>
    <s v="P007"/>
    <x v="6"/>
    <x v="1"/>
    <x v="3"/>
    <x v="2"/>
    <n v="100"/>
    <n v="40"/>
    <n v="60"/>
    <n v="20"/>
    <n v="150"/>
    <d v="2024-01-14T00:00:00"/>
    <x v="1"/>
  </r>
  <r>
    <s v="P008"/>
    <x v="7"/>
    <x v="2"/>
    <x v="4"/>
    <x v="0"/>
    <n v="500"/>
    <n v="300"/>
    <n v="200"/>
    <n v="100"/>
    <n v="2"/>
    <d v="2024-01-16T00:00:00"/>
    <x v="1"/>
  </r>
  <r>
    <s v="P009"/>
    <x v="8"/>
    <x v="2"/>
    <x v="4"/>
    <x v="0"/>
    <n v="600"/>
    <n v="400"/>
    <n v="200"/>
    <n v="300"/>
    <n v="3"/>
    <d v="2024-01-18T00:00:00"/>
    <x v="0"/>
  </r>
  <r>
    <s v="P010"/>
    <x v="9"/>
    <x v="2"/>
    <x v="4"/>
    <x v="1"/>
    <n v="350"/>
    <n v="150"/>
    <n v="200"/>
    <n v="80"/>
    <n v="4"/>
    <d v="2024-01-20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D5:E9" firstHeaderRow="1" firstDataRow="1" firstDataCol="1" rowPageCount="1" colPageCount="1"/>
  <pivotFields count="12">
    <pivotField showAll="0"/>
    <pivotField axis="axisRow" showAll="0">
      <items count="11">
        <item x="5"/>
        <item x="9"/>
        <item x="1"/>
        <item x="0"/>
        <item x="3"/>
        <item x="2"/>
        <item x="7"/>
        <item x="6"/>
        <item x="8"/>
        <item x="4"/>
        <item t="default"/>
      </items>
    </pivotField>
    <pivotField showAll="0">
      <items count="4">
        <item x="0"/>
        <item x="1"/>
        <item x="2"/>
        <item t="default"/>
      </items>
    </pivotField>
    <pivotField showAll="0">
      <items count="6">
        <item x="3"/>
        <item x="4"/>
        <item x="2"/>
        <item x="1"/>
        <item x="0"/>
        <item t="default"/>
      </items>
    </pivotField>
    <pivotField showAll="0"/>
    <pivotField showAll="0"/>
    <pivotField showAll="0"/>
    <pivotField dataField="1" showAll="0"/>
    <pivotField showAll="0"/>
    <pivotField showAll="0"/>
    <pivotField numFmtId="14" showAll="0"/>
    <pivotField axis="axisPage" showAll="0">
      <items count="3">
        <item x="1"/>
        <item x="0"/>
        <item t="default"/>
      </items>
    </pivotField>
  </pivotFields>
  <rowFields count="1">
    <field x="1"/>
  </rowFields>
  <rowItems count="4">
    <i>
      <x v="3"/>
    </i>
    <i>
      <x v="4"/>
    </i>
    <i>
      <x v="8"/>
    </i>
    <i>
      <x v="9"/>
    </i>
  </rowItems>
  <colItems count="1">
    <i/>
  </colItems>
  <pageFields count="1">
    <pageField fld="11" item="1" hier="-1"/>
  </pageFields>
  <dataFields count="1">
    <dataField name="Sum of Current_St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8:B11" firstHeaderRow="1" firstDataRow="1" firstDataCol="1"/>
  <pivotFields count="11">
    <pivotField showAll="0"/>
    <pivotField showAll="0"/>
    <pivotField showAll="0">
      <items count="4">
        <item x="0"/>
        <item x="1"/>
        <item x="2"/>
        <item t="default"/>
      </items>
    </pivotField>
    <pivotField showAll="0"/>
    <pivotField axis="axisRow" showAll="0">
      <items count="4">
        <item x="0"/>
        <item x="1"/>
        <item x="2"/>
        <item t="default"/>
      </items>
    </pivotField>
    <pivotField showAll="0"/>
    <pivotField showAll="0"/>
    <pivotField dataField="1" showAll="0"/>
    <pivotField showAll="0"/>
    <pivotField showAll="0"/>
    <pivotField numFmtId="14" showAll="0"/>
  </pivotFields>
  <rowFields count="1">
    <field x="4"/>
  </rowFields>
  <rowItems count="3">
    <i>
      <x/>
    </i>
    <i>
      <x v="1"/>
    </i>
    <i>
      <x v="2"/>
    </i>
  </rowItems>
  <colItems count="1">
    <i/>
  </colItems>
  <dataFields count="1">
    <dataField name="Sum of Current_Stock"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B6" firstHeaderRow="1" firstDataRow="1" firstDataCol="1"/>
  <pivotFields count="11">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numFmtId="14" showAll="0"/>
  </pivotFields>
  <rowFields count="1">
    <field x="2"/>
  </rowFields>
  <rowItems count="3">
    <i>
      <x/>
    </i>
    <i>
      <x v="1"/>
    </i>
    <i>
      <x v="2"/>
    </i>
  </rowItems>
  <colItems count="1">
    <i/>
  </colItems>
  <dataFields count="1">
    <dataField name="Sum of Current_Stock"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13:B18" firstHeaderRow="1" firstDataRow="1" firstDataCol="1"/>
  <pivotFields count="12">
    <pivotField showAll="0"/>
    <pivotField showAll="0"/>
    <pivotField showAll="0">
      <items count="4">
        <item x="0"/>
        <item x="1"/>
        <item x="2"/>
        <item t="default"/>
      </items>
    </pivotField>
    <pivotField axis="axisRow" showAll="0">
      <items count="6">
        <item x="3"/>
        <item x="4"/>
        <item x="2"/>
        <item x="1"/>
        <item x="0"/>
        <item t="default"/>
      </items>
    </pivotField>
    <pivotField showAll="0">
      <items count="4">
        <item x="0"/>
        <item x="1"/>
        <item x="2"/>
        <item t="default"/>
      </items>
    </pivotField>
    <pivotField dataField="1" showAll="0"/>
    <pivotField showAll="0"/>
    <pivotField showAll="0"/>
    <pivotField showAll="0"/>
    <pivotField showAll="0"/>
    <pivotField numFmtId="14" showAll="0"/>
    <pivotField showAll="0"/>
  </pivotFields>
  <rowFields count="1">
    <field x="3"/>
  </rowFields>
  <rowItems count="5">
    <i>
      <x/>
    </i>
    <i>
      <x v="1"/>
    </i>
    <i>
      <x v="2"/>
    </i>
    <i>
      <x v="3"/>
    </i>
    <i>
      <x v="4"/>
    </i>
  </rowItems>
  <colItems count="1">
    <i/>
  </colItems>
  <dataFields count="1">
    <dataField name="Sum of Stock_In" fld="5" baseField="0" baseItem="0"/>
  </dataField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L21:M31" firstHeaderRow="1" firstDataRow="1" firstDataCol="1" rowPageCount="1" colPageCount="1"/>
  <pivotFields count="12">
    <pivotField showAll="0"/>
    <pivotField axis="axisRow" showAll="0" measureFilter="1">
      <items count="11">
        <item x="5"/>
        <item x="9"/>
        <item x="1"/>
        <item x="0"/>
        <item x="3"/>
        <item x="2"/>
        <item x="7"/>
        <item x="6"/>
        <item x="8"/>
        <item x="4"/>
        <item t="default"/>
      </items>
    </pivotField>
    <pivotField showAll="0">
      <items count="4">
        <item x="0"/>
        <item x="1"/>
        <item x="2"/>
        <item t="default"/>
      </items>
    </pivotField>
    <pivotField showAll="0">
      <items count="6">
        <item x="3"/>
        <item x="4"/>
        <item x="2"/>
        <item x="1"/>
        <item x="0"/>
        <item t="default"/>
      </items>
    </pivotField>
    <pivotField showAll="0"/>
    <pivotField showAll="0"/>
    <pivotField showAll="0"/>
    <pivotField dataField="1" showAll="0"/>
    <pivotField showAll="0"/>
    <pivotField showAll="0"/>
    <pivotField numFmtId="14" showAll="0"/>
    <pivotField axis="axisPage" showAll="0">
      <items count="3">
        <item x="1"/>
        <item x="0"/>
        <item t="default"/>
      </items>
    </pivotField>
  </pivotFields>
  <rowFields count="1">
    <field x="1"/>
  </rowFields>
  <rowItems count="10">
    <i>
      <x/>
    </i>
    <i>
      <x v="1"/>
    </i>
    <i>
      <x v="2"/>
    </i>
    <i>
      <x v="3"/>
    </i>
    <i>
      <x v="4"/>
    </i>
    <i>
      <x v="5"/>
    </i>
    <i>
      <x v="6"/>
    </i>
    <i>
      <x v="7"/>
    </i>
    <i>
      <x v="8"/>
    </i>
    <i>
      <x v="9"/>
    </i>
  </rowItems>
  <colItems count="1">
    <i/>
  </colItems>
  <pageFields count="1">
    <pageField fld="11" hier="-1"/>
  </pageFields>
  <dataFields count="1">
    <dataField name="Current Stock" fld="7" baseField="1" baseItem="0"/>
  </dataFields>
  <conditionalFormats count="1">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5" showRowHeaders="1" showColHeaders="1" showRowStripes="0" showColStripes="0" showLastColumn="1"/>
  <filters count="1">
    <filter fld="1" type="count" evalOrder="-1" id="2" iMeasureFld="0">
      <autoFilter ref="A1">
        <filterColumn colId="0">
          <top10 val="17" filterVal="1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17:S34" firstHeaderRow="1" firstDataRow="1" firstDataCol="0"/>
  <pivotFields count="12">
    <pivotField showAll="0"/>
    <pivotField showAll="0"/>
    <pivotField showAll="0">
      <items count="4">
        <item x="0"/>
        <item x="1"/>
        <item x="2"/>
        <item t="default"/>
      </items>
    </pivotField>
    <pivotField showAll="0">
      <items count="6">
        <item x="3"/>
        <item x="4"/>
        <item x="2"/>
        <item x="1"/>
        <item x="0"/>
        <item t="default"/>
      </items>
    </pivotField>
    <pivotField showAll="0"/>
    <pivotField showAll="0"/>
    <pivotField showAll="0"/>
    <pivotField showAll="0"/>
    <pivotField showAll="0"/>
    <pivotField showAll="0"/>
    <pivotField numFmtId="1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8"/>
    <pivotTable tabId="2" name="PivotTable4"/>
    <pivotTable tabId="2" name="PivotTable6"/>
    <pivotTable tabId="3" name="PivotTable4"/>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pplier" sourceName="Supplier">
  <pivotTables>
    <pivotTable tabId="3" name="PivotTable8"/>
    <pivotTable tabId="2" name="PivotTable4"/>
    <pivotTable tabId="2" name="PivotTable6"/>
    <pivotTable tabId="3" name="PivotTable4"/>
  </pivotTables>
  <data>
    <tabular pivotCacheId="1">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howCaption="0" style="SlicerStyleDark1" rowHeight="241300"/>
  <slicer name="Supplier 1" cache="Slicer_Supplier" caption="Supplier" showCaption="0"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2F2F2">
            <a:alpha val="45098"/>
          </a:srgbClr>
        </a:solidFill>
        <a:ln>
          <a:no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election activeCell="E18" sqref="E18"/>
    </sheetView>
  </sheetViews>
  <sheetFormatPr defaultRowHeight="14.5" x14ac:dyDescent="0.35"/>
  <cols>
    <col min="1" max="1" width="12.36328125" customWidth="1"/>
    <col min="2" max="2" width="13.36328125" customWidth="1"/>
    <col min="3" max="3" width="10.453125" customWidth="1"/>
    <col min="4" max="4" width="12.1796875" customWidth="1"/>
    <col min="5" max="5" width="11.08984375" customWidth="1"/>
    <col min="6" max="6" width="13.26953125" bestFit="1" customWidth="1"/>
    <col min="7" max="7" width="12.36328125" customWidth="1"/>
    <col min="8" max="8" width="19.26953125" customWidth="1"/>
    <col min="9" max="9" width="12.90625" customWidth="1"/>
    <col min="10" max="10" width="10.81640625" customWidth="1"/>
    <col min="11" max="11" width="17.54296875" customWidth="1"/>
    <col min="12" max="12" width="12.1796875" customWidth="1"/>
  </cols>
  <sheetData>
    <row r="1" spans="1:12" ht="22" customHeight="1" x14ac:dyDescent="0.35">
      <c r="A1" s="16" t="s">
        <v>0</v>
      </c>
      <c r="B1" s="16" t="s">
        <v>1</v>
      </c>
      <c r="C1" s="16" t="s">
        <v>2</v>
      </c>
      <c r="D1" s="16" t="s">
        <v>3</v>
      </c>
      <c r="E1" s="16" t="s">
        <v>4</v>
      </c>
      <c r="F1" s="16" t="s">
        <v>5</v>
      </c>
      <c r="G1" s="16" t="s">
        <v>6</v>
      </c>
      <c r="H1" s="16" t="s">
        <v>7</v>
      </c>
      <c r="I1" s="16" t="s">
        <v>8</v>
      </c>
      <c r="J1" s="16" t="s">
        <v>9</v>
      </c>
      <c r="K1" s="16" t="s">
        <v>10</v>
      </c>
      <c r="L1" s="16" t="s">
        <v>48</v>
      </c>
    </row>
    <row r="2" spans="1:12" ht="16" customHeight="1" x14ac:dyDescent="0.35">
      <c r="A2" s="13" t="s">
        <v>11</v>
      </c>
      <c r="B2" s="13" t="s">
        <v>12</v>
      </c>
      <c r="C2" s="13" t="s">
        <v>13</v>
      </c>
      <c r="D2" s="13" t="s">
        <v>14</v>
      </c>
      <c r="E2" s="13" t="s">
        <v>15</v>
      </c>
      <c r="F2" s="13">
        <v>150</v>
      </c>
      <c r="G2" s="13">
        <v>80</v>
      </c>
      <c r="H2" s="13">
        <v>70</v>
      </c>
      <c r="I2" s="13">
        <v>90</v>
      </c>
      <c r="J2" s="13">
        <v>650</v>
      </c>
      <c r="K2" s="14">
        <v>45292</v>
      </c>
      <c r="L2" s="15" t="str">
        <f>IF(H2&lt;I2,"Reorder","OK")</f>
        <v>Reorder</v>
      </c>
    </row>
    <row r="3" spans="1:12" ht="20" customHeight="1" x14ac:dyDescent="0.35">
      <c r="A3" s="13" t="s">
        <v>16</v>
      </c>
      <c r="B3" s="13" t="s">
        <v>17</v>
      </c>
      <c r="C3" s="13" t="s">
        <v>13</v>
      </c>
      <c r="D3" s="13" t="s">
        <v>14</v>
      </c>
      <c r="E3" s="13" t="s">
        <v>15</v>
      </c>
      <c r="F3" s="13">
        <v>300</v>
      </c>
      <c r="G3" s="13">
        <v>120</v>
      </c>
      <c r="H3" s="13">
        <v>180</v>
      </c>
      <c r="I3" s="13">
        <v>50</v>
      </c>
      <c r="J3" s="13">
        <v>20</v>
      </c>
      <c r="K3" s="14">
        <v>45294</v>
      </c>
      <c r="L3" s="15" t="str">
        <f t="shared" ref="L3:L11" si="0">IF(H3&lt;I3,"Reorder","OK")</f>
        <v>OK</v>
      </c>
    </row>
    <row r="4" spans="1:12" ht="19" customHeight="1" x14ac:dyDescent="0.35">
      <c r="A4" s="13" t="s">
        <v>18</v>
      </c>
      <c r="B4" s="13" t="s">
        <v>19</v>
      </c>
      <c r="C4" s="13" t="s">
        <v>13</v>
      </c>
      <c r="D4" s="13" t="s">
        <v>14</v>
      </c>
      <c r="E4" s="13" t="s">
        <v>20</v>
      </c>
      <c r="F4" s="13">
        <v>250</v>
      </c>
      <c r="G4" s="13">
        <v>200</v>
      </c>
      <c r="H4" s="13">
        <v>50</v>
      </c>
      <c r="I4" s="13">
        <v>40</v>
      </c>
      <c r="J4" s="13">
        <v>10</v>
      </c>
      <c r="K4" s="14">
        <v>45296</v>
      </c>
      <c r="L4" s="15" t="str">
        <f t="shared" si="0"/>
        <v>OK</v>
      </c>
    </row>
    <row r="5" spans="1:12" ht="18.5" customHeight="1" x14ac:dyDescent="0.35">
      <c r="A5" s="13" t="s">
        <v>21</v>
      </c>
      <c r="B5" s="13" t="s">
        <v>22</v>
      </c>
      <c r="C5" s="13" t="s">
        <v>13</v>
      </c>
      <c r="D5" s="13" t="s">
        <v>23</v>
      </c>
      <c r="E5" s="13" t="s">
        <v>15</v>
      </c>
      <c r="F5" s="13">
        <v>120</v>
      </c>
      <c r="G5" s="13">
        <v>60</v>
      </c>
      <c r="H5" s="13">
        <v>60</v>
      </c>
      <c r="I5" s="13">
        <v>80</v>
      </c>
      <c r="J5" s="13">
        <v>200</v>
      </c>
      <c r="K5" s="14">
        <v>45298</v>
      </c>
      <c r="L5" s="15" t="str">
        <f t="shared" si="0"/>
        <v>Reorder</v>
      </c>
    </row>
    <row r="6" spans="1:12" ht="16.5" customHeight="1" x14ac:dyDescent="0.35">
      <c r="A6" s="13" t="s">
        <v>24</v>
      </c>
      <c r="B6" s="13" t="s">
        <v>25</v>
      </c>
      <c r="C6" s="13" t="s">
        <v>13</v>
      </c>
      <c r="D6" s="13" t="s">
        <v>26</v>
      </c>
      <c r="E6" s="13" t="s">
        <v>20</v>
      </c>
      <c r="F6" s="13">
        <v>90</v>
      </c>
      <c r="G6" s="13">
        <v>40</v>
      </c>
      <c r="H6" s="13">
        <v>50</v>
      </c>
      <c r="I6" s="13">
        <v>70</v>
      </c>
      <c r="J6" s="13">
        <v>180</v>
      </c>
      <c r="K6" s="14">
        <v>45301</v>
      </c>
      <c r="L6" s="15" t="str">
        <f t="shared" si="0"/>
        <v>Reorder</v>
      </c>
    </row>
    <row r="7" spans="1:12" ht="18.5" customHeight="1" x14ac:dyDescent="0.35">
      <c r="A7" s="13" t="s">
        <v>27</v>
      </c>
      <c r="B7" s="13" t="s">
        <v>28</v>
      </c>
      <c r="C7" s="13" t="s">
        <v>29</v>
      </c>
      <c r="D7" s="13" t="s">
        <v>30</v>
      </c>
      <c r="E7" s="13" t="s">
        <v>31</v>
      </c>
      <c r="F7" s="13">
        <v>200</v>
      </c>
      <c r="G7" s="13">
        <v>100</v>
      </c>
      <c r="H7" s="13">
        <v>100</v>
      </c>
      <c r="I7" s="13">
        <v>40</v>
      </c>
      <c r="J7" s="13">
        <v>75</v>
      </c>
      <c r="K7" s="14">
        <v>45303</v>
      </c>
      <c r="L7" s="15" t="str">
        <f t="shared" si="0"/>
        <v>OK</v>
      </c>
    </row>
    <row r="8" spans="1:12" ht="15.5" customHeight="1" x14ac:dyDescent="0.35">
      <c r="A8" s="13" t="s">
        <v>32</v>
      </c>
      <c r="B8" s="13" t="s">
        <v>33</v>
      </c>
      <c r="C8" s="13" t="s">
        <v>29</v>
      </c>
      <c r="D8" s="13" t="s">
        <v>30</v>
      </c>
      <c r="E8" s="13" t="s">
        <v>31</v>
      </c>
      <c r="F8" s="13">
        <v>100</v>
      </c>
      <c r="G8" s="13">
        <v>40</v>
      </c>
      <c r="H8" s="13">
        <v>60</v>
      </c>
      <c r="I8" s="13">
        <v>20</v>
      </c>
      <c r="J8" s="13">
        <v>150</v>
      </c>
      <c r="K8" s="14">
        <v>45305</v>
      </c>
      <c r="L8" s="15" t="str">
        <f t="shared" si="0"/>
        <v>OK</v>
      </c>
    </row>
    <row r="9" spans="1:12" ht="17.5" customHeight="1" x14ac:dyDescent="0.35">
      <c r="A9" s="13" t="s">
        <v>34</v>
      </c>
      <c r="B9" s="13" t="s">
        <v>35</v>
      </c>
      <c r="C9" s="13" t="s">
        <v>36</v>
      </c>
      <c r="D9" s="13" t="s">
        <v>37</v>
      </c>
      <c r="E9" s="13" t="s">
        <v>15</v>
      </c>
      <c r="F9" s="13">
        <v>500</v>
      </c>
      <c r="G9" s="13">
        <v>300</v>
      </c>
      <c r="H9" s="13">
        <v>200</v>
      </c>
      <c r="I9" s="13">
        <v>100</v>
      </c>
      <c r="J9" s="13">
        <v>2</v>
      </c>
      <c r="K9" s="14">
        <v>45307</v>
      </c>
      <c r="L9" s="15" t="str">
        <f t="shared" si="0"/>
        <v>OK</v>
      </c>
    </row>
    <row r="10" spans="1:12" ht="19" customHeight="1" x14ac:dyDescent="0.35">
      <c r="A10" s="13" t="s">
        <v>38</v>
      </c>
      <c r="B10" s="13" t="s">
        <v>39</v>
      </c>
      <c r="C10" s="13" t="s">
        <v>36</v>
      </c>
      <c r="D10" s="13" t="s">
        <v>37</v>
      </c>
      <c r="E10" s="13" t="s">
        <v>15</v>
      </c>
      <c r="F10" s="13">
        <v>600</v>
      </c>
      <c r="G10" s="13">
        <v>400</v>
      </c>
      <c r="H10" s="13">
        <v>200</v>
      </c>
      <c r="I10" s="13">
        <v>300</v>
      </c>
      <c r="J10" s="13">
        <v>3</v>
      </c>
      <c r="K10" s="14">
        <v>45309</v>
      </c>
      <c r="L10" s="15" t="str">
        <f t="shared" si="0"/>
        <v>Reorder</v>
      </c>
    </row>
    <row r="11" spans="1:12" ht="17.5" customHeight="1" x14ac:dyDescent="0.35">
      <c r="A11" s="13" t="s">
        <v>40</v>
      </c>
      <c r="B11" s="13" t="s">
        <v>41</v>
      </c>
      <c r="C11" s="13" t="s">
        <v>36</v>
      </c>
      <c r="D11" s="13" t="s">
        <v>37</v>
      </c>
      <c r="E11" s="13" t="s">
        <v>20</v>
      </c>
      <c r="F11" s="13">
        <v>350</v>
      </c>
      <c r="G11" s="13">
        <v>150</v>
      </c>
      <c r="H11" s="13">
        <v>200</v>
      </c>
      <c r="I11" s="13">
        <v>80</v>
      </c>
      <c r="J11" s="13">
        <v>4</v>
      </c>
      <c r="K11" s="14">
        <v>45311</v>
      </c>
      <c r="L11" s="15" t="str">
        <f t="shared" si="0"/>
        <v>OK</v>
      </c>
    </row>
    <row r="16" spans="1:12" x14ac:dyDescent="0.35">
      <c r="G16" s="12"/>
      <c r="H16" s="10"/>
    </row>
    <row r="17" spans="7:8" x14ac:dyDescent="0.35">
      <c r="G17" s="12"/>
      <c r="H17" s="10"/>
    </row>
    <row r="18" spans="7:8" x14ac:dyDescent="0.35">
      <c r="G18" s="12"/>
      <c r="H18" s="10"/>
    </row>
    <row r="19" spans="7:8" x14ac:dyDescent="0.35">
      <c r="G19" s="12"/>
      <c r="H19" s="10"/>
    </row>
    <row r="20" spans="7:8" x14ac:dyDescent="0.35">
      <c r="G20" s="12"/>
      <c r="H20" s="10"/>
    </row>
  </sheetData>
  <conditionalFormatting sqref="A2:L11">
    <cfRule type="expression" dxfId="0" priority="1">
      <formula>$H2&lt;$I2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7"/>
  <sheetViews>
    <sheetView workbookViewId="0">
      <selection activeCell="D25" sqref="D25"/>
    </sheetView>
  </sheetViews>
  <sheetFormatPr defaultRowHeight="14.5" x14ac:dyDescent="0.35"/>
  <cols>
    <col min="1" max="1" width="12.36328125" customWidth="1"/>
    <col min="2" max="2" width="19.26953125" bestFit="1" customWidth="1"/>
    <col min="3" max="4" width="12.36328125" customWidth="1"/>
    <col min="5" max="5" width="19.26953125" bestFit="1" customWidth="1"/>
    <col min="9" max="9" width="12.36328125" customWidth="1"/>
    <col min="10" max="10" width="14.36328125" customWidth="1"/>
  </cols>
  <sheetData>
    <row r="3" spans="1:5" x14ac:dyDescent="0.35">
      <c r="A3" s="11" t="s">
        <v>43</v>
      </c>
      <c r="B3" t="s">
        <v>42</v>
      </c>
      <c r="D3" s="11" t="s">
        <v>48</v>
      </c>
      <c r="E3" t="s">
        <v>49</v>
      </c>
    </row>
    <row r="4" spans="1:5" x14ac:dyDescent="0.35">
      <c r="A4" s="12" t="s">
        <v>13</v>
      </c>
      <c r="B4" s="10">
        <v>410</v>
      </c>
    </row>
    <row r="5" spans="1:5" x14ac:dyDescent="0.35">
      <c r="A5" s="12" t="s">
        <v>29</v>
      </c>
      <c r="B5" s="10">
        <v>160</v>
      </c>
      <c r="D5" s="11" t="s">
        <v>43</v>
      </c>
      <c r="E5" t="s">
        <v>42</v>
      </c>
    </row>
    <row r="6" spans="1:5" x14ac:dyDescent="0.35">
      <c r="A6" s="12" t="s">
        <v>36</v>
      </c>
      <c r="B6" s="10">
        <v>600</v>
      </c>
      <c r="D6" s="12" t="s">
        <v>12</v>
      </c>
      <c r="E6" s="10">
        <v>70</v>
      </c>
    </row>
    <row r="7" spans="1:5" x14ac:dyDescent="0.35">
      <c r="D7" s="12" t="s">
        <v>22</v>
      </c>
      <c r="E7" s="10">
        <v>60</v>
      </c>
    </row>
    <row r="8" spans="1:5" x14ac:dyDescent="0.35">
      <c r="A8" s="11" t="s">
        <v>43</v>
      </c>
      <c r="B8" t="s">
        <v>42</v>
      </c>
      <c r="D8" s="12" t="s">
        <v>39</v>
      </c>
      <c r="E8" s="10">
        <v>200</v>
      </c>
    </row>
    <row r="9" spans="1:5" x14ac:dyDescent="0.35">
      <c r="A9" s="12" t="s">
        <v>15</v>
      </c>
      <c r="B9" s="10">
        <v>710</v>
      </c>
      <c r="D9" s="12" t="s">
        <v>25</v>
      </c>
      <c r="E9" s="10">
        <v>50</v>
      </c>
    </row>
    <row r="10" spans="1:5" x14ac:dyDescent="0.35">
      <c r="A10" s="12" t="s">
        <v>20</v>
      </c>
      <c r="B10" s="10">
        <v>300</v>
      </c>
    </row>
    <row r="11" spans="1:5" x14ac:dyDescent="0.35">
      <c r="A11" s="12" t="s">
        <v>31</v>
      </c>
      <c r="B11" s="10">
        <v>160</v>
      </c>
    </row>
    <row r="13" spans="1:5" x14ac:dyDescent="0.35">
      <c r="A13" s="11" t="s">
        <v>43</v>
      </c>
      <c r="B13" t="s">
        <v>51</v>
      </c>
    </row>
    <row r="14" spans="1:5" x14ac:dyDescent="0.35">
      <c r="A14" s="12" t="s">
        <v>30</v>
      </c>
      <c r="B14" s="10">
        <v>300</v>
      </c>
    </row>
    <row r="15" spans="1:5" x14ac:dyDescent="0.35">
      <c r="A15" s="12" t="s">
        <v>37</v>
      </c>
      <c r="B15" s="10">
        <v>1450</v>
      </c>
    </row>
    <row r="16" spans="1:5" x14ac:dyDescent="0.35">
      <c r="A16" s="12" t="s">
        <v>26</v>
      </c>
      <c r="B16" s="10">
        <v>90</v>
      </c>
    </row>
    <row r="17" spans="1:2" x14ac:dyDescent="0.35">
      <c r="A17" s="12" t="s">
        <v>23</v>
      </c>
      <c r="B17" s="10">
        <v>120</v>
      </c>
    </row>
    <row r="18" spans="1:2" x14ac:dyDescent="0.35">
      <c r="A18" s="12" t="s">
        <v>14</v>
      </c>
      <c r="B18" s="10">
        <v>700</v>
      </c>
    </row>
    <row r="23" spans="1:2" x14ac:dyDescent="0.35">
      <c r="A23" s="12"/>
      <c r="B23" s="10"/>
    </row>
    <row r="24" spans="1:2" x14ac:dyDescent="0.35">
      <c r="A24" s="12"/>
      <c r="B24" s="10"/>
    </row>
    <row r="25" spans="1:2" x14ac:dyDescent="0.35">
      <c r="A25" s="12"/>
      <c r="B25" s="10"/>
    </row>
    <row r="26" spans="1:2" x14ac:dyDescent="0.35">
      <c r="A26" s="12"/>
      <c r="B26" s="10"/>
    </row>
    <row r="27" spans="1:2" x14ac:dyDescent="0.35">
      <c r="A27" s="12"/>
      <c r="B2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S34"/>
  <sheetViews>
    <sheetView showGridLines="0" tabSelected="1" zoomScale="85" zoomScaleNormal="100" workbookViewId="0">
      <selection activeCell="C7" sqref="C7"/>
    </sheetView>
  </sheetViews>
  <sheetFormatPr defaultRowHeight="14.5" x14ac:dyDescent="0.35"/>
  <cols>
    <col min="5" max="5" width="16" customWidth="1"/>
    <col min="6" max="6" width="19.26953125" bestFit="1" customWidth="1"/>
    <col min="7" max="7" width="11.36328125" customWidth="1"/>
    <col min="10" max="10" width="12.36328125" bestFit="1" customWidth="1"/>
    <col min="11" max="11" width="13.1796875" customWidth="1"/>
    <col min="12" max="12" width="13.1796875" bestFit="1" customWidth="1"/>
    <col min="13" max="13" width="12.453125" customWidth="1"/>
    <col min="15" max="15" width="12.54296875" hidden="1" customWidth="1"/>
    <col min="16" max="16" width="0" hidden="1" customWidth="1"/>
    <col min="17" max="17" width="9.453125" hidden="1" customWidth="1"/>
    <col min="18" max="19" width="0" hidden="1" customWidth="1"/>
  </cols>
  <sheetData>
    <row r="5" spans="4:19" x14ac:dyDescent="0.35">
      <c r="D5" s="17"/>
      <c r="R5" t="s">
        <v>44</v>
      </c>
      <c r="S5">
        <v>10</v>
      </c>
    </row>
    <row r="6" spans="4:19" x14ac:dyDescent="0.35">
      <c r="R6" t="s">
        <v>45</v>
      </c>
      <c r="S6">
        <v>1170</v>
      </c>
    </row>
    <row r="7" spans="4:19" x14ac:dyDescent="0.35">
      <c r="R7" t="s">
        <v>46</v>
      </c>
      <c r="S7">
        <v>4</v>
      </c>
    </row>
    <row r="8" spans="4:19" x14ac:dyDescent="0.35">
      <c r="O8" t="s">
        <v>47</v>
      </c>
      <c r="P8">
        <v>88900</v>
      </c>
    </row>
    <row r="17" spans="12:19" x14ac:dyDescent="0.35">
      <c r="Q17" s="1"/>
      <c r="R17" s="2"/>
      <c r="S17" s="3"/>
    </row>
    <row r="18" spans="12:19" x14ac:dyDescent="0.35">
      <c r="Q18" s="4"/>
      <c r="R18" s="5"/>
      <c r="S18" s="6"/>
    </row>
    <row r="19" spans="12:19" x14ac:dyDescent="0.35">
      <c r="L19" s="11" t="s">
        <v>48</v>
      </c>
      <c r="M19" t="s">
        <v>50</v>
      </c>
      <c r="Q19" s="4"/>
      <c r="R19" s="5"/>
      <c r="S19" s="6"/>
    </row>
    <row r="20" spans="12:19" x14ac:dyDescent="0.35">
      <c r="Q20" s="4"/>
      <c r="R20" s="5"/>
      <c r="S20" s="6"/>
    </row>
    <row r="21" spans="12:19" x14ac:dyDescent="0.35">
      <c r="L21" s="11" t="s">
        <v>43</v>
      </c>
      <c r="M21" t="s">
        <v>52</v>
      </c>
      <c r="Q21" s="4"/>
      <c r="R21" s="5"/>
      <c r="S21" s="6"/>
    </row>
    <row r="22" spans="12:19" x14ac:dyDescent="0.35">
      <c r="L22" s="12" t="s">
        <v>28</v>
      </c>
      <c r="M22" s="10">
        <v>100</v>
      </c>
      <c r="Q22" s="4"/>
      <c r="R22" s="5"/>
      <c r="S22" s="6"/>
    </row>
    <row r="23" spans="12:19" x14ac:dyDescent="0.35">
      <c r="L23" s="12" t="s">
        <v>41</v>
      </c>
      <c r="M23" s="10">
        <v>200</v>
      </c>
      <c r="Q23" s="4"/>
      <c r="R23" s="5"/>
      <c r="S23" s="6"/>
    </row>
    <row r="24" spans="12:19" x14ac:dyDescent="0.35">
      <c r="L24" s="12" t="s">
        <v>17</v>
      </c>
      <c r="M24" s="10">
        <v>180</v>
      </c>
      <c r="Q24" s="4"/>
      <c r="R24" s="5"/>
      <c r="S24" s="6"/>
    </row>
    <row r="25" spans="12:19" x14ac:dyDescent="0.35">
      <c r="L25" s="12" t="s">
        <v>12</v>
      </c>
      <c r="M25" s="10">
        <v>70</v>
      </c>
      <c r="Q25" s="4"/>
      <c r="R25" s="5"/>
      <c r="S25" s="6"/>
    </row>
    <row r="26" spans="12:19" x14ac:dyDescent="0.35">
      <c r="L26" s="12" t="s">
        <v>22</v>
      </c>
      <c r="M26" s="10">
        <v>60</v>
      </c>
      <c r="Q26" s="4"/>
      <c r="R26" s="5"/>
      <c r="S26" s="6"/>
    </row>
    <row r="27" spans="12:19" x14ac:dyDescent="0.35">
      <c r="L27" s="12" t="s">
        <v>19</v>
      </c>
      <c r="M27" s="10">
        <v>50</v>
      </c>
      <c r="Q27" s="4"/>
      <c r="R27" s="5"/>
      <c r="S27" s="6"/>
    </row>
    <row r="28" spans="12:19" x14ac:dyDescent="0.35">
      <c r="L28" s="12" t="s">
        <v>35</v>
      </c>
      <c r="M28" s="10">
        <v>200</v>
      </c>
      <c r="Q28" s="4"/>
      <c r="R28" s="5"/>
      <c r="S28" s="6"/>
    </row>
    <row r="29" spans="12:19" x14ac:dyDescent="0.35">
      <c r="L29" s="12" t="s">
        <v>33</v>
      </c>
      <c r="M29" s="10">
        <v>60</v>
      </c>
      <c r="Q29" s="4"/>
      <c r="R29" s="5"/>
      <c r="S29" s="6"/>
    </row>
    <row r="30" spans="12:19" x14ac:dyDescent="0.35">
      <c r="L30" s="12" t="s">
        <v>39</v>
      </c>
      <c r="M30" s="10">
        <v>200</v>
      </c>
      <c r="Q30" s="4"/>
      <c r="R30" s="5"/>
      <c r="S30" s="6"/>
    </row>
    <row r="31" spans="12:19" x14ac:dyDescent="0.35">
      <c r="L31" s="12" t="s">
        <v>25</v>
      </c>
      <c r="M31" s="10">
        <v>50</v>
      </c>
      <c r="Q31" s="4"/>
      <c r="R31" s="5"/>
      <c r="S31" s="6"/>
    </row>
    <row r="32" spans="12:19" x14ac:dyDescent="0.35">
      <c r="Q32" s="4"/>
      <c r="R32" s="5"/>
      <c r="S32" s="6"/>
    </row>
    <row r="33" spans="17:19" x14ac:dyDescent="0.35">
      <c r="Q33" s="4"/>
      <c r="R33" s="5"/>
      <c r="S33" s="6"/>
    </row>
    <row r="34" spans="17:19" x14ac:dyDescent="0.35">
      <c r="Q34" s="7"/>
      <c r="R34" s="8"/>
      <c r="S34" s="9"/>
    </row>
  </sheetData>
  <conditionalFormatting sqref="T23">
    <cfRule type="dataBar" priority="3">
      <dataBar>
        <cfvo type="min"/>
        <cfvo type="max"/>
        <color rgb="FF638EC6"/>
      </dataBar>
      <extLst>
        <ext xmlns:x14="http://schemas.microsoft.com/office/spreadsheetml/2009/9/main" uri="{B025F937-C7B1-47D3-B67F-A62EFF666E3E}">
          <x14:id>{75D8ED4B-D930-46F4-BDCA-5FE029D2671B}</x14:id>
        </ext>
      </extLst>
    </cfRule>
  </conditionalFormatting>
  <conditionalFormatting sqref="M21">
    <cfRule type="dataBar" priority="2">
      <dataBar>
        <cfvo type="min"/>
        <cfvo type="max"/>
        <color rgb="FFD6007B"/>
      </dataBar>
      <extLst>
        <ext xmlns:x14="http://schemas.microsoft.com/office/spreadsheetml/2009/9/main" uri="{B025F937-C7B1-47D3-B67F-A62EFF666E3E}">
          <x14:id>{A22B8431-35D4-4BE0-BF3D-AEB122023EF3}</x14:id>
        </ext>
      </extLst>
    </cfRule>
  </conditionalFormatting>
  <conditionalFormatting pivot="1" sqref="M22:M31">
    <cfRule type="dataBar" priority="1">
      <dataBar>
        <cfvo type="min"/>
        <cfvo type="max"/>
        <color rgb="FF638EC6"/>
      </dataBar>
      <extLst>
        <ext xmlns:x14="http://schemas.microsoft.com/office/spreadsheetml/2009/9/main" uri="{B025F937-C7B1-47D3-B67F-A62EFF666E3E}">
          <x14:id>{F065EEA8-0ACC-4957-9B2E-653D14110128}</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x14:cfRule type="dataBar" id="{75D8ED4B-D930-46F4-BDCA-5FE029D2671B}">
            <x14:dataBar minLength="0" maxLength="100" border="1" negativeBarBorderColorSameAsPositive="0">
              <x14:cfvo type="autoMin"/>
              <x14:cfvo type="autoMax"/>
              <x14:borderColor rgb="FF638EC6"/>
              <x14:negativeFillColor rgb="FFFF0000"/>
              <x14:negativeBorderColor rgb="FFFF0000"/>
              <x14:axisColor rgb="FF000000"/>
            </x14:dataBar>
          </x14:cfRule>
          <xm:sqref>T23</xm:sqref>
        </x14:conditionalFormatting>
        <x14:conditionalFormatting xmlns:xm="http://schemas.microsoft.com/office/excel/2006/main">
          <x14:cfRule type="dataBar" id="{A22B8431-35D4-4BE0-BF3D-AEB122023EF3}">
            <x14:dataBar minLength="0" maxLength="100" gradient="0">
              <x14:cfvo type="autoMin"/>
              <x14:cfvo type="autoMax"/>
              <x14:negativeFillColor rgb="FFFF0000"/>
              <x14:axisColor rgb="FF000000"/>
            </x14:dataBar>
          </x14:cfRule>
          <xm:sqref>M21</xm:sqref>
        </x14:conditionalFormatting>
        <x14:conditionalFormatting xmlns:xm="http://schemas.microsoft.com/office/excel/2006/main" pivot="1">
          <x14:cfRule type="dataBar" id="{F065EEA8-0ACC-4957-9B2E-653D14110128}">
            <x14:dataBar minLength="0" maxLength="100" border="1" negativeBarBorderColorSameAsPositive="0">
              <x14:cfvo type="autoMin"/>
              <x14:cfvo type="autoMax"/>
              <x14:borderColor rgb="FF638EC6"/>
              <x14:negativeFillColor rgb="FFFF0000"/>
              <x14:negativeBorderColor rgb="FFFF0000"/>
              <x14:axisColor rgb="FF000000"/>
            </x14:dataBar>
          </x14:cfRule>
          <xm:sqref>M22:M31</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 </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2026-03-15T16:25:08Z</dcterms:created>
  <dcterms:modified xsi:type="dcterms:W3CDTF">2026-03-22T09:52:13Z</dcterms:modified>
</cp:coreProperties>
</file>